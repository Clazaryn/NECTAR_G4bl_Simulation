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ckenby\Documents\NECTAR\"/>
    </mc:Choice>
  </mc:AlternateContent>
  <xr:revisionPtr revIDLastSave="0" documentId="13_ncr:1_{6B0114D8-88B9-4ED9-BF0D-816B08491899}" xr6:coauthVersionLast="47" xr6:coauthVersionMax="47" xr10:uidLastSave="{00000000-0000-0000-0000-000000000000}"/>
  <bookViews>
    <workbookView xWindow="2340" yWindow="2340" windowWidth="28800" windowHeight="15435" xr2:uid="{00000000-000D-0000-FFFF-FFFF00000000}"/>
  </bookViews>
  <sheets>
    <sheet name="GPAC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7" l="1"/>
  <c r="B9" i="7" l="1"/>
  <c r="B30" i="7" l="1"/>
  <c r="B28" i="7"/>
  <c r="B27" i="7"/>
  <c r="B11" i="7"/>
  <c r="B26" i="7"/>
  <c r="B29" i="7"/>
</calcChain>
</file>

<file path=xl/sharedStrings.xml><?xml version="1.0" encoding="utf-8"?>
<sst xmlns="http://schemas.openxmlformats.org/spreadsheetml/2006/main" count="26" uniqueCount="26">
  <si>
    <t>Coeficients for Q poles</t>
  </si>
  <si>
    <t>Fac1</t>
  </si>
  <si>
    <t>Fac2</t>
  </si>
  <si>
    <t>Fac3</t>
  </si>
  <si>
    <t>Fac4</t>
  </si>
  <si>
    <t>Fac5</t>
  </si>
  <si>
    <t>kq1</t>
  </si>
  <si>
    <t>kq2</t>
  </si>
  <si>
    <t>kq3</t>
  </si>
  <si>
    <t>kq4</t>
  </si>
  <si>
    <t>kq5</t>
  </si>
  <si>
    <t>(From Manfred Grieser and ESR Mad-X simulations)</t>
  </si>
  <si>
    <t>We multiply kqi by Faci and scale with Brho to obtain the Qpol gradients for g4bl simulation</t>
  </si>
  <si>
    <t>Q1</t>
  </si>
  <si>
    <t>Q2</t>
  </si>
  <si>
    <t>Q3</t>
  </si>
  <si>
    <t>Q4</t>
  </si>
  <si>
    <t>Q5</t>
  </si>
  <si>
    <t>Beam charge Z</t>
  </si>
  <si>
    <t>Beam mass A</t>
  </si>
  <si>
    <t>Beam energy (AMeV)</t>
  </si>
  <si>
    <t>CN momentum P (MeV/c)</t>
  </si>
  <si>
    <t>Brho (T.m)</t>
  </si>
  <si>
    <t>Bfield (T)</t>
  </si>
  <si>
    <t>Radius of dipole ESR according to Mad-X (m)</t>
  </si>
  <si>
    <t>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</si>
</sst>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2"/>
      <color theme="9" tint="-0.249977111117893"/>
      <name val="Times New Roman"/>
      <family val="1"/>
    </font>
    <font>
      <b/>
      <sz val="12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2" borderId="5" xfId="0" applyFont="1" applyFill="1" applyBorder="1"/>
    <xf numFmtId="0" fontId="0" fillId="2" borderId="6" xfId="0" applyFill="1" applyBorder="1"/>
    <xf numFmtId="0" fontId="3" fillId="0" borderId="0" xfId="0" applyFont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0" xfId="0" applyFont="1"/>
    <xf numFmtId="0" fontId="0" fillId="0" borderId="0" xfId="0" applyFont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630E-22FD-4635-AE1A-7BB9FD44380E}">
  <dimension ref="A3:B30"/>
  <sheetViews>
    <sheetView tabSelected="1" zoomScaleNormal="100" workbookViewId="0">
      <selection activeCell="B30" sqref="B30"/>
    </sheetView>
  </sheetViews>
  <sheetFormatPr baseColWidth="10" defaultRowHeight="15" x14ac:dyDescent="0.25"/>
  <cols>
    <col min="1" max="1" width="45.7109375" customWidth="1"/>
    <col min="2" max="2" width="15.42578125" customWidth="1"/>
  </cols>
  <sheetData>
    <row r="3" spans="1:2" ht="15.75" thickBot="1" x14ac:dyDescent="0.3"/>
    <row r="4" spans="1:2" ht="15.75" thickBot="1" x14ac:dyDescent="0.3">
      <c r="B4" s="24" t="s">
        <v>25</v>
      </c>
    </row>
    <row r="5" spans="1:2" x14ac:dyDescent="0.25">
      <c r="A5" s="1" t="s">
        <v>18</v>
      </c>
      <c r="B5" s="2">
        <v>82</v>
      </c>
    </row>
    <row r="6" spans="1:2" x14ac:dyDescent="0.25">
      <c r="A6" s="3" t="s">
        <v>19</v>
      </c>
      <c r="B6">
        <v>204.97448196438955</v>
      </c>
    </row>
    <row r="7" spans="1:2" x14ac:dyDescent="0.25">
      <c r="A7" s="3" t="s">
        <v>20</v>
      </c>
      <c r="B7" s="4">
        <v>13</v>
      </c>
    </row>
    <row r="8" spans="1:2" x14ac:dyDescent="0.25">
      <c r="A8" s="3" t="s">
        <v>21</v>
      </c>
      <c r="B8" s="4">
        <f>SQRT((B7*B6+B6*931.5)^2-(931.5*B6)^2)</f>
        <v>32010.163370423787</v>
      </c>
    </row>
    <row r="9" spans="1:2" x14ac:dyDescent="0.25">
      <c r="A9" s="3" t="s">
        <v>22</v>
      </c>
      <c r="B9" s="4">
        <f>$B$8/(2.997925*100*$B$5)</f>
        <v>1.3021267909663445</v>
      </c>
    </row>
    <row r="10" spans="1:2" x14ac:dyDescent="0.25">
      <c r="A10" s="3" t="s">
        <v>24</v>
      </c>
      <c r="B10" s="4">
        <v>6.3570000000000002</v>
      </c>
    </row>
    <row r="11" spans="1:2" ht="15.75" thickBot="1" x14ac:dyDescent="0.3">
      <c r="A11" s="5" t="s">
        <v>23</v>
      </c>
      <c r="B11" s="6">
        <f>B9/B10</f>
        <v>0.20483353641125443</v>
      </c>
    </row>
    <row r="12" spans="1:2" ht="15.75" thickBot="1" x14ac:dyDescent="0.3"/>
    <row r="13" spans="1:2" ht="15.75" thickBot="1" x14ac:dyDescent="0.3">
      <c r="A13" s="12" t="s">
        <v>0</v>
      </c>
      <c r="B13" t="s">
        <v>11</v>
      </c>
    </row>
    <row r="14" spans="1:2" ht="15.75" x14ac:dyDescent="0.25">
      <c r="A14" s="13" t="s">
        <v>1</v>
      </c>
      <c r="B14" s="9">
        <v>0.98299999999999998</v>
      </c>
    </row>
    <row r="15" spans="1:2" ht="15.75" x14ac:dyDescent="0.25">
      <c r="A15" s="14" t="s">
        <v>2</v>
      </c>
      <c r="B15" s="10">
        <v>0.98499999999999999</v>
      </c>
    </row>
    <row r="16" spans="1:2" ht="15.75" x14ac:dyDescent="0.25">
      <c r="A16" s="14" t="s">
        <v>3</v>
      </c>
      <c r="B16" s="10">
        <v>0.98099999999999998</v>
      </c>
    </row>
    <row r="17" spans="1:2" ht="15.75" x14ac:dyDescent="0.25">
      <c r="A17" s="14" t="s">
        <v>4</v>
      </c>
      <c r="B17" s="10">
        <v>0.98099999999999998</v>
      </c>
    </row>
    <row r="18" spans="1:2" ht="16.5" thickBot="1" x14ac:dyDescent="0.3">
      <c r="A18" s="15" t="s">
        <v>5</v>
      </c>
      <c r="B18" s="11">
        <v>0.97799999999999998</v>
      </c>
    </row>
    <row r="19" spans="1:2" ht="15.75" x14ac:dyDescent="0.25">
      <c r="A19" s="13" t="s">
        <v>6</v>
      </c>
      <c r="B19" s="9">
        <v>-0.51930399999999999</v>
      </c>
    </row>
    <row r="20" spans="1:2" ht="15.75" x14ac:dyDescent="0.25">
      <c r="A20" s="14" t="s">
        <v>7</v>
      </c>
      <c r="B20" s="10">
        <v>0.46654600000000002</v>
      </c>
    </row>
    <row r="21" spans="1:2" ht="15.75" x14ac:dyDescent="0.25">
      <c r="A21" s="14" t="s">
        <v>8</v>
      </c>
      <c r="B21" s="10">
        <v>0.34332600000000002</v>
      </c>
    </row>
    <row r="22" spans="1:2" ht="15.75" x14ac:dyDescent="0.25">
      <c r="A22" s="14" t="s">
        <v>9</v>
      </c>
      <c r="B22" s="10">
        <v>-0.46424100000000001</v>
      </c>
    </row>
    <row r="23" spans="1:2" ht="16.5" thickBot="1" x14ac:dyDescent="0.3">
      <c r="A23" s="15" t="s">
        <v>10</v>
      </c>
      <c r="B23" s="11">
        <v>0.43075200000000002</v>
      </c>
    </row>
    <row r="24" spans="1:2" ht="15.75" x14ac:dyDescent="0.25">
      <c r="A24" s="7"/>
      <c r="B24" s="8"/>
    </row>
    <row r="25" spans="1:2" ht="16.5" thickBot="1" x14ac:dyDescent="0.3">
      <c r="A25" s="16" t="s">
        <v>12</v>
      </c>
      <c r="B25" s="17"/>
    </row>
    <row r="26" spans="1:2" ht="15.75" x14ac:dyDescent="0.25">
      <c r="A26" s="18" t="s">
        <v>13</v>
      </c>
      <c r="B26" s="21">
        <f>B14*B19*$B$9</f>
        <v>-0.66470425698803481</v>
      </c>
    </row>
    <row r="27" spans="1:2" ht="15.75" x14ac:dyDescent="0.25">
      <c r="A27" s="19" t="s">
        <v>14</v>
      </c>
      <c r="B27" s="22">
        <f>B15*B20*$B$9</f>
        <v>0.59838951513091143</v>
      </c>
    </row>
    <row r="28" spans="1:2" ht="15.75" x14ac:dyDescent="0.25">
      <c r="A28" s="19" t="s">
        <v>15</v>
      </c>
      <c r="B28" s="22">
        <f>B16*B21*$B$9</f>
        <v>0.43855995696524031</v>
      </c>
    </row>
    <row r="29" spans="1:2" ht="15.75" x14ac:dyDescent="0.25">
      <c r="A29" s="19" t="s">
        <v>16</v>
      </c>
      <c r="B29" s="22">
        <f>B17*B22*$B$9</f>
        <v>-0.59301513133727168</v>
      </c>
    </row>
    <row r="30" spans="1:2" ht="16.5" thickBot="1" x14ac:dyDescent="0.3">
      <c r="A30" s="20" t="s">
        <v>17</v>
      </c>
      <c r="B30" s="23">
        <f>B18*B23*$B$9</f>
        <v>0.54855405763416343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GPAC</vt:lpstr>
    </vt:vector>
  </TitlesOfParts>
  <Company>CENBG UMR5797 - CNRS - Universite Bordeaux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jurado</dc:creator>
  <cp:lastModifiedBy>guy leckenby</cp:lastModifiedBy>
  <dcterms:created xsi:type="dcterms:W3CDTF">2022-04-13T13:46:16Z</dcterms:created>
  <dcterms:modified xsi:type="dcterms:W3CDTF">2026-01-16T16:27:51Z</dcterms:modified>
</cp:coreProperties>
</file>